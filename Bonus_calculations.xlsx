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kstation\f_DansFiles\docs\Kelly\GFI_2026\"/>
    </mc:Choice>
  </mc:AlternateContent>
  <xr:revisionPtr revIDLastSave="0" documentId="13_ncr:1_{3F4E96F1-AEDE-40CC-9A31-24839340E5A3}" xr6:coauthVersionLast="47" xr6:coauthVersionMax="47" xr10:uidLastSave="{00000000-0000-0000-0000-000000000000}"/>
  <bookViews>
    <workbookView xWindow="8535" yWindow="3105" windowWidth="29700" windowHeight="13575" activeTab="1" xr2:uid="{262CB21E-052E-4008-BB9D-FAA6DE2A8938}"/>
  </bookViews>
  <sheets>
    <sheet name="Sheet1" sheetId="1" r:id="rId1"/>
    <sheet name="Sheet2" sheetId="2" r:id="rId2"/>
    <sheet name="2H25" sheetId="3" r:id="rId3"/>
    <sheet name="1H25" sheetId="4" r:id="rId4"/>
    <sheet name="Compare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2" l="1"/>
  <c r="S9" i="2"/>
  <c r="S10" i="2"/>
  <c r="S11" i="2"/>
  <c r="S12" i="2"/>
  <c r="S13" i="2"/>
  <c r="S7" i="2"/>
  <c r="L8" i="2"/>
  <c r="L9" i="2"/>
  <c r="L10" i="2"/>
  <c r="L11" i="2"/>
  <c r="L12" i="2"/>
  <c r="L13" i="2"/>
  <c r="L7" i="2"/>
  <c r="R14" i="2"/>
  <c r="R8" i="2"/>
  <c r="R9" i="2"/>
  <c r="R10" i="2"/>
  <c r="R11" i="2"/>
  <c r="R12" i="2"/>
  <c r="R13" i="2"/>
  <c r="R7" i="2"/>
  <c r="Q16" i="2"/>
  <c r="H12" i="5" l="1"/>
  <c r="I12" i="5"/>
  <c r="B12" i="5"/>
  <c r="C12" i="5"/>
  <c r="E12" i="5"/>
  <c r="F12" i="5"/>
  <c r="B10" i="4"/>
  <c r="B10" i="3"/>
  <c r="E11" i="5"/>
  <c r="H11" i="5" s="1"/>
  <c r="F11" i="5"/>
  <c r="C11" i="5"/>
  <c r="I11" i="5" s="1"/>
  <c r="J11" i="5" s="1"/>
  <c r="B11" i="5"/>
  <c r="C10" i="5"/>
  <c r="B10" i="5"/>
  <c r="C9" i="5"/>
  <c r="B9" i="5"/>
  <c r="C8" i="5"/>
  <c r="B8" i="5"/>
  <c r="C7" i="5"/>
  <c r="I7" i="5" s="1"/>
  <c r="J7" i="5" s="1"/>
  <c r="B7" i="5"/>
  <c r="C6" i="5"/>
  <c r="B6" i="5"/>
  <c r="C5" i="5"/>
  <c r="B5" i="5"/>
  <c r="C4" i="5"/>
  <c r="I4" i="5" s="1"/>
  <c r="J4" i="5" s="1"/>
  <c r="B4" i="5"/>
  <c r="C3" i="5"/>
  <c r="F10" i="5"/>
  <c r="E10" i="5"/>
  <c r="F9" i="5"/>
  <c r="E9" i="5"/>
  <c r="F8" i="5"/>
  <c r="E8" i="5"/>
  <c r="F7" i="5"/>
  <c r="E7" i="5"/>
  <c r="H7" i="5" s="1"/>
  <c r="F6" i="5"/>
  <c r="E6" i="5"/>
  <c r="F5" i="5"/>
  <c r="E5" i="5"/>
  <c r="F4" i="5"/>
  <c r="E4" i="5"/>
  <c r="H4" i="5" s="1"/>
  <c r="F3" i="5"/>
  <c r="E3" i="5"/>
  <c r="B3" i="5"/>
  <c r="B9" i="4"/>
  <c r="B8" i="4"/>
  <c r="B7" i="4"/>
  <c r="B6" i="4"/>
  <c r="B5" i="4"/>
  <c r="B4" i="4"/>
  <c r="B4" i="3"/>
  <c r="B7" i="3" s="1"/>
  <c r="B8" i="3" s="1"/>
  <c r="B2" i="4"/>
  <c r="B5" i="3"/>
  <c r="B6" i="3" l="1"/>
  <c r="B3" i="4"/>
  <c r="I3" i="5"/>
  <c r="J3" i="5" s="1"/>
  <c r="J20" i="2" l="1"/>
  <c r="J18" i="2"/>
  <c r="J17" i="2"/>
  <c r="I14" i="2"/>
  <c r="I13" i="2"/>
  <c r="I12" i="2"/>
  <c r="I11" i="2"/>
  <c r="I10" i="2"/>
  <c r="I9" i="2"/>
  <c r="I8" i="2"/>
  <c r="I7" i="2"/>
  <c r="G14" i="2"/>
  <c r="G13" i="2"/>
  <c r="G12" i="2"/>
  <c r="G11" i="2"/>
  <c r="G10" i="2"/>
  <c r="G9" i="2"/>
  <c r="G8" i="2"/>
  <c r="G7" i="2"/>
  <c r="M9" i="2" l="1"/>
  <c r="N19" i="2"/>
  <c r="O19" i="2" s="1"/>
  <c r="N18" i="2"/>
  <c r="B9" i="3"/>
  <c r="M10" i="2"/>
  <c r="M8" i="2"/>
  <c r="M14" i="2"/>
  <c r="J19" i="2"/>
  <c r="J23" i="2"/>
  <c r="J24" i="2" s="1"/>
  <c r="O9" i="2" s="1"/>
  <c r="P9" i="2" s="1"/>
  <c r="M7" i="2"/>
  <c r="M11" i="2"/>
  <c r="M12" i="2"/>
  <c r="M13" i="2"/>
  <c r="J21" i="2"/>
  <c r="O21" i="2" l="1"/>
  <c r="O13" i="2"/>
  <c r="P13" i="2" s="1"/>
  <c r="O7" i="2"/>
  <c r="O8" i="2"/>
  <c r="P8" i="2" s="1"/>
  <c r="O12" i="2"/>
  <c r="P12" i="2" s="1"/>
  <c r="O11" i="2"/>
  <c r="P11" i="2" s="1"/>
  <c r="O10" i="2"/>
  <c r="P10" i="2" s="1"/>
  <c r="P7" i="2" l="1"/>
</calcChain>
</file>

<file path=xl/sharedStrings.xml><?xml version="1.0" encoding="utf-8"?>
<sst xmlns="http://schemas.openxmlformats.org/spreadsheetml/2006/main" count="137" uniqueCount="68">
  <si>
    <t>Broker</t>
  </si>
  <si>
    <t>Salary</t>
  </si>
  <si>
    <t>CPF</t>
  </si>
  <si>
    <t>INS</t>
  </si>
  <si>
    <t>T&amp;E</t>
  </si>
  <si>
    <t>Comms</t>
  </si>
  <si>
    <t>T Cost S$</t>
  </si>
  <si>
    <t>Cost US$</t>
  </si>
  <si>
    <t>Revenue</t>
  </si>
  <si>
    <t>% of Rev</t>
  </si>
  <si>
    <t>Bonus</t>
  </si>
  <si>
    <t>Payout</t>
  </si>
  <si>
    <t>Luke Che</t>
  </si>
  <si>
    <t>Peggy Ho</t>
  </si>
  <si>
    <t>Junnie Li</t>
  </si>
  <si>
    <t>Saurabh P</t>
  </si>
  <si>
    <t>Kelly Tan</t>
  </si>
  <si>
    <t>Dion Tan</t>
  </si>
  <si>
    <t>Camille Tan</t>
  </si>
  <si>
    <t>Adeline T</t>
  </si>
  <si>
    <t>-</t>
  </si>
  <si>
    <t>Luke Cheong</t>
  </si>
  <si>
    <t>Junnie Liew</t>
  </si>
  <si>
    <t>Saurabh Pal*</t>
  </si>
  <si>
    <t>Camille Arena</t>
  </si>
  <si>
    <t>Saurabh Pal</t>
  </si>
  <si>
    <t>Adeline Thian</t>
  </si>
  <si>
    <t>(B+C+D+E+F)</t>
  </si>
  <si>
    <t>USD/SGD</t>
  </si>
  <si>
    <t>Pool</t>
  </si>
  <si>
    <t>1% Promo</t>
  </si>
  <si>
    <t>(USD)</t>
  </si>
  <si>
    <t>(H/B2)</t>
  </si>
  <si>
    <t>Revenue (USD)</t>
  </si>
  <si>
    <t>Total cost (USD)</t>
  </si>
  <si>
    <t>Total rev (USD)</t>
  </si>
  <si>
    <t>(K/J16)</t>
  </si>
  <si>
    <t>Rev-Cost (USD)</t>
  </si>
  <si>
    <t>Pool/Rev-Cost</t>
  </si>
  <si>
    <t>Kelly 5%</t>
  </si>
  <si>
    <t>Pool-Kelly</t>
  </si>
  <si>
    <t>Bonus (USD)</t>
  </si>
  <si>
    <t>Bonus (SGD)</t>
  </si>
  <si>
    <t>desk 55%</t>
  </si>
  <si>
    <t>mgmt 45%</t>
  </si>
  <si>
    <t>TotalCost (TC)</t>
  </si>
  <si>
    <t>TotalRevenue (TR)</t>
  </si>
  <si>
    <t>BP - Pool</t>
  </si>
  <si>
    <t>Cost S$</t>
  </si>
  <si>
    <t>Irene Tan (reconciliation)</t>
  </si>
  <si>
    <t>Revenues</t>
  </si>
  <si>
    <t xml:space="preserve"> </t>
  </si>
  <si>
    <t>Cost USD</t>
  </si>
  <si>
    <t>(incl. cost + severance of 28,466)</t>
  </si>
  <si>
    <t>2H25</t>
  </si>
  <si>
    <t>1H25</t>
  </si>
  <si>
    <t>Compare</t>
  </si>
  <si>
    <t>change</t>
  </si>
  <si>
    <t>%change</t>
  </si>
  <si>
    <t>1% Promo (1P)</t>
  </si>
  <si>
    <t>TR - 1P (R)</t>
  </si>
  <si>
    <t>45%*R -&gt; Mgmt</t>
  </si>
  <si>
    <t>55%* R -&gt; Desk</t>
  </si>
  <si>
    <t>Desk - TC (BP)</t>
  </si>
  <si>
    <t>R / TC (Ratio)</t>
  </si>
  <si>
    <t>Bonus(SGD)</t>
  </si>
  <si>
    <t>Adj. Bonus (USD)</t>
  </si>
  <si>
    <t xml:space="preserve">Payout 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</si>
</sst>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164" fontId="2" fillId="0" borderId="0" xfId="0" applyNumberFormat="1" applyFont="1"/>
    <xf numFmtId="164" fontId="2" fillId="0" borderId="0" xfId="1" applyNumberFormat="1" applyFont="1"/>
    <xf numFmtId="9" fontId="0" fillId="0" borderId="0" xfId="2" applyFont="1"/>
    <xf numFmtId="0" fontId="6" fillId="0" borderId="0" xfId="0" applyFont="1" applyAlignment="1">
      <alignment horizontal="center"/>
    </xf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0" applyNumberFormat="1"/>
    <xf numFmtId="164" fontId="6" fillId="0" borderId="0" xfId="0" applyNumberFormat="1" applyFont="1"/>
    <xf numFmtId="41" fontId="0" fillId="0" borderId="0" xfId="1" applyNumberFormat="1" applyFont="1" applyAlignment="1">
      <alignment horizontal="center"/>
    </xf>
    <xf numFmtId="4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1" fillId="0" borderId="0" xfId="1" applyNumberFormat="1" applyFont="1"/>
    <xf numFmtId="41" fontId="1" fillId="0" borderId="0" xfId="1" applyNumberFormat="1" applyFont="1"/>
    <xf numFmtId="41" fontId="0" fillId="0" borderId="0" xfId="1" applyNumberFormat="1" applyFont="1"/>
    <xf numFmtId="41" fontId="0" fillId="0" borderId="0" xfId="0" applyNumberForma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2" fontId="1" fillId="0" borderId="0" xfId="2" applyNumberFormat="1" applyFont="1"/>
    <xf numFmtId="165" fontId="0" fillId="0" borderId="0" xfId="1" applyNumberFormat="1" applyFont="1"/>
    <xf numFmtId="165" fontId="0" fillId="0" borderId="0" xfId="0" applyNumberFormat="1"/>
    <xf numFmtId="166" fontId="0" fillId="0" borderId="0" xfId="2" applyNumberFormat="1" applyFont="1" applyAlignment="1">
      <alignment horizontal="center"/>
    </xf>
    <xf numFmtId="166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744D-FFF9-40DE-A8D4-1E9D56826C61}">
  <dimension ref="A1:L9"/>
  <sheetViews>
    <sheetView workbookViewId="0">
      <selection activeCell="L7" sqref="L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>
        <v>187794</v>
      </c>
      <c r="C2" s="3">
        <v>9828</v>
      </c>
      <c r="D2" s="3">
        <v>8479</v>
      </c>
      <c r="E2" s="3">
        <v>20236</v>
      </c>
      <c r="F2" s="3">
        <v>36000</v>
      </c>
      <c r="G2" s="3">
        <v>262337</v>
      </c>
      <c r="H2" s="3">
        <v>203362</v>
      </c>
      <c r="I2" s="4">
        <v>546455</v>
      </c>
      <c r="J2" s="5">
        <v>0.18290000000000001</v>
      </c>
      <c r="K2" s="2"/>
      <c r="L2" s="5">
        <v>0.37209999999999999</v>
      </c>
    </row>
    <row r="3" spans="1:12" x14ac:dyDescent="0.25">
      <c r="A3" s="3" t="s">
        <v>13</v>
      </c>
      <c r="B3" s="3">
        <v>148902</v>
      </c>
      <c r="C3" s="3">
        <v>6662</v>
      </c>
      <c r="D3" s="3">
        <v>3316</v>
      </c>
      <c r="E3" s="3">
        <v>20640</v>
      </c>
      <c r="F3" s="3">
        <v>36000</v>
      </c>
      <c r="G3" s="3">
        <v>215520</v>
      </c>
      <c r="H3" s="3">
        <v>167070</v>
      </c>
      <c r="I3" s="4">
        <v>447410</v>
      </c>
      <c r="J3" s="5">
        <v>0.1497</v>
      </c>
      <c r="K3" s="2"/>
      <c r="L3" s="5">
        <v>0.37340000000000001</v>
      </c>
    </row>
    <row r="4" spans="1:12" x14ac:dyDescent="0.25">
      <c r="A4" s="3" t="s">
        <v>14</v>
      </c>
      <c r="B4" s="3">
        <v>200820</v>
      </c>
      <c r="C4" s="3">
        <v>9828</v>
      </c>
      <c r="D4" s="3">
        <v>8479</v>
      </c>
      <c r="E4" s="3">
        <v>13100</v>
      </c>
      <c r="F4" s="3">
        <v>36000</v>
      </c>
      <c r="G4" s="3">
        <v>268227</v>
      </c>
      <c r="H4" s="3">
        <v>207928</v>
      </c>
      <c r="I4" s="4">
        <v>698303</v>
      </c>
      <c r="J4" s="5">
        <v>0.23369999999999999</v>
      </c>
      <c r="K4" s="2"/>
      <c r="L4" s="5">
        <v>0.29780000000000001</v>
      </c>
    </row>
    <row r="5" spans="1:12" x14ac:dyDescent="0.25">
      <c r="A5" s="3" t="s">
        <v>15</v>
      </c>
      <c r="B5" s="3">
        <v>124902</v>
      </c>
      <c r="C5" s="3">
        <v>9848</v>
      </c>
      <c r="D5" s="3">
        <v>8465</v>
      </c>
      <c r="E5" s="3">
        <v>48020</v>
      </c>
      <c r="F5" s="3">
        <v>36000</v>
      </c>
      <c r="G5" s="3">
        <v>227235</v>
      </c>
      <c r="H5" s="3">
        <v>176151</v>
      </c>
      <c r="I5" s="4">
        <v>556570</v>
      </c>
      <c r="J5" s="5">
        <v>0.1862</v>
      </c>
      <c r="K5" s="2"/>
      <c r="L5" s="5">
        <v>0.3165</v>
      </c>
    </row>
    <row r="6" spans="1:12" x14ac:dyDescent="0.25">
      <c r="A6" s="3" t="s">
        <v>16</v>
      </c>
      <c r="B6" s="3">
        <v>239658</v>
      </c>
      <c r="C6" s="3">
        <v>9848</v>
      </c>
      <c r="D6" s="3">
        <v>8619</v>
      </c>
      <c r="E6" s="3">
        <v>21274</v>
      </c>
      <c r="F6" s="3">
        <v>36000</v>
      </c>
      <c r="G6" s="3">
        <v>315399</v>
      </c>
      <c r="H6" s="3">
        <v>244495</v>
      </c>
      <c r="I6" s="3">
        <v>626080</v>
      </c>
      <c r="J6" s="5">
        <v>0.20949999999999999</v>
      </c>
      <c r="K6" s="2"/>
      <c r="L6" s="5">
        <v>0.39050000000000001</v>
      </c>
    </row>
    <row r="7" spans="1:12" x14ac:dyDescent="0.25">
      <c r="A7" s="3" t="s">
        <v>17</v>
      </c>
      <c r="B7" s="3">
        <v>27238</v>
      </c>
      <c r="C7" s="3">
        <v>4702</v>
      </c>
      <c r="D7" s="3">
        <v>2800</v>
      </c>
      <c r="E7" s="3">
        <v>3741</v>
      </c>
      <c r="F7" s="3">
        <v>36000</v>
      </c>
      <c r="G7" s="3">
        <v>74481</v>
      </c>
      <c r="H7" s="3">
        <v>57737</v>
      </c>
      <c r="I7" s="3">
        <v>25150</v>
      </c>
      <c r="J7" s="5">
        <v>8.3999999999999995E-3</v>
      </c>
      <c r="K7" s="2"/>
      <c r="L7" s="5">
        <v>2.2957000000000001</v>
      </c>
    </row>
    <row r="8" spans="1:12" ht="25.5" x14ac:dyDescent="0.25">
      <c r="A8" s="3" t="s">
        <v>18</v>
      </c>
      <c r="B8" s="3">
        <v>45300</v>
      </c>
      <c r="C8" s="2"/>
      <c r="D8" s="3">
        <v>3096</v>
      </c>
      <c r="E8" s="3">
        <v>13013</v>
      </c>
      <c r="F8" s="3">
        <v>36000</v>
      </c>
      <c r="G8" s="3">
        <v>97409</v>
      </c>
      <c r="H8" s="3">
        <v>75511</v>
      </c>
      <c r="I8" s="3">
        <v>88565</v>
      </c>
      <c r="J8" s="5">
        <v>2.9600000000000001E-2</v>
      </c>
      <c r="K8" s="2"/>
      <c r="L8" s="5">
        <v>0.85260000000000002</v>
      </c>
    </row>
    <row r="9" spans="1:12" x14ac:dyDescent="0.25">
      <c r="A9" s="3" t="s">
        <v>19</v>
      </c>
      <c r="B9" s="4">
        <v>43800</v>
      </c>
      <c r="C9" s="4">
        <v>9346</v>
      </c>
      <c r="D9" s="3">
        <v>8191</v>
      </c>
      <c r="E9" s="3" t="s">
        <v>20</v>
      </c>
      <c r="F9" s="2"/>
      <c r="G9" s="3">
        <v>51991</v>
      </c>
      <c r="H9" s="3">
        <v>40303</v>
      </c>
      <c r="I9" s="2"/>
      <c r="J9" s="2"/>
      <c r="K9" s="2"/>
      <c r="L9" s="3" t="e">
        <v>#DIV/0!</v>
      </c>
    </row>
  </sheetData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22A0-09C1-421F-A84E-F2001F33944D}">
  <sheetPr>
    <pageSetUpPr fitToPage="1"/>
  </sheetPr>
  <dimension ref="A1:T27"/>
  <sheetViews>
    <sheetView tabSelected="1" workbookViewId="0">
      <selection activeCell="T13" sqref="T13"/>
    </sheetView>
  </sheetViews>
  <sheetFormatPr defaultRowHeight="15" x14ac:dyDescent="0.25"/>
  <cols>
    <col min="1" max="1" width="13.5703125" bestFit="1" customWidth="1"/>
    <col min="2" max="2" width="13.28515625" bestFit="1" customWidth="1"/>
    <col min="3" max="4" width="9.5703125" bestFit="1" customWidth="1"/>
    <col min="5" max="6" width="10.5703125" bestFit="1" customWidth="1"/>
    <col min="7" max="7" width="13.85546875" customWidth="1"/>
    <col min="8" max="8" width="11.5703125" bestFit="1" customWidth="1"/>
    <col min="9" max="9" width="15" bestFit="1" customWidth="1"/>
    <col min="10" max="10" width="11.5703125" bestFit="1" customWidth="1"/>
    <col min="11" max="12" width="14.42578125" bestFit="1" customWidth="1"/>
    <col min="13" max="13" width="14.42578125" customWidth="1"/>
    <col min="14" max="14" width="13.28515625" bestFit="1" customWidth="1"/>
    <col min="15" max="16" width="11.85546875" bestFit="1" customWidth="1"/>
    <col min="17" max="17" width="16" bestFit="1" customWidth="1"/>
    <col min="18" max="18" width="11.42578125" bestFit="1" customWidth="1"/>
    <col min="19" max="19" width="12.140625" bestFit="1" customWidth="1"/>
    <col min="20" max="20" width="11" bestFit="1" customWidth="1"/>
  </cols>
  <sheetData>
    <row r="1" spans="1:20" x14ac:dyDescent="0.25">
      <c r="A1" t="s">
        <v>28</v>
      </c>
      <c r="B1">
        <v>1.29</v>
      </c>
    </row>
    <row r="2" spans="1:20" x14ac:dyDescent="0.25">
      <c r="A2" t="s">
        <v>29</v>
      </c>
      <c r="B2" s="10">
        <v>346826</v>
      </c>
      <c r="C2" t="s">
        <v>31</v>
      </c>
    </row>
    <row r="3" spans="1:20" x14ac:dyDescent="0.25">
      <c r="A3" t="s">
        <v>8</v>
      </c>
      <c r="B3" s="10">
        <v>2988533</v>
      </c>
      <c r="C3" t="s">
        <v>31</v>
      </c>
    </row>
    <row r="4" spans="1:20" x14ac:dyDescent="0.25">
      <c r="A4" t="s">
        <v>30</v>
      </c>
      <c r="B4" s="6">
        <v>29885.33</v>
      </c>
      <c r="C4" t="s">
        <v>31</v>
      </c>
    </row>
    <row r="6" spans="1:20" x14ac:dyDescent="0.25">
      <c r="A6" t="s">
        <v>0</v>
      </c>
      <c r="B6" s="14" t="s">
        <v>1</v>
      </c>
      <c r="C6" s="14" t="s">
        <v>2</v>
      </c>
      <c r="D6" s="14" t="s">
        <v>3</v>
      </c>
      <c r="E6" s="14" t="s">
        <v>4</v>
      </c>
      <c r="F6" s="14" t="s">
        <v>5</v>
      </c>
      <c r="G6" s="15" t="s">
        <v>27</v>
      </c>
      <c r="H6" s="14" t="s">
        <v>6</v>
      </c>
      <c r="I6" s="15" t="s">
        <v>32</v>
      </c>
      <c r="J6" s="14" t="s">
        <v>7</v>
      </c>
      <c r="K6" s="14" t="s">
        <v>33</v>
      </c>
      <c r="L6" t="s">
        <v>37</v>
      </c>
      <c r="M6" s="12" t="s">
        <v>36</v>
      </c>
      <c r="N6" s="14" t="s">
        <v>9</v>
      </c>
      <c r="O6" s="12" t="s">
        <v>41</v>
      </c>
      <c r="P6" s="12" t="s">
        <v>42</v>
      </c>
      <c r="Q6" s="12" t="s">
        <v>66</v>
      </c>
      <c r="R6" s="12" t="s">
        <v>65</v>
      </c>
      <c r="S6" s="12" t="s">
        <v>67</v>
      </c>
      <c r="T6" s="14"/>
    </row>
    <row r="7" spans="1:20" x14ac:dyDescent="0.25">
      <c r="A7" t="s">
        <v>21</v>
      </c>
      <c r="B7" s="16">
        <v>187794</v>
      </c>
      <c r="C7" s="16">
        <v>9828</v>
      </c>
      <c r="D7" s="16">
        <v>8479</v>
      </c>
      <c r="E7" s="16">
        <v>20236</v>
      </c>
      <c r="F7" s="16">
        <v>36000</v>
      </c>
      <c r="G7" s="17">
        <f>SUM(B7:F7)</f>
        <v>262337</v>
      </c>
      <c r="H7" s="16">
        <v>262337</v>
      </c>
      <c r="I7" s="17">
        <f>H7/$B$1</f>
        <v>203362.01550387597</v>
      </c>
      <c r="J7" s="16">
        <v>203362</v>
      </c>
      <c r="K7" s="16">
        <v>546455</v>
      </c>
      <c r="L7" s="16">
        <f>K7-J7</f>
        <v>343093</v>
      </c>
      <c r="M7" s="13">
        <f>K7/$J$18</f>
        <v>0.18285058254334149</v>
      </c>
      <c r="N7" s="35">
        <v>0.18290000000000001</v>
      </c>
      <c r="O7" s="20">
        <f t="shared" ref="O7:O13" si="0">M7*$J$24</f>
        <v>60246.469334118112</v>
      </c>
      <c r="P7" s="20">
        <f t="shared" ref="P7:P13" si="1">O7*$B$1</f>
        <v>77717.945441012373</v>
      </c>
      <c r="Q7">
        <v>54000</v>
      </c>
      <c r="R7">
        <f>Q7*1.29</f>
        <v>69660</v>
      </c>
      <c r="S7" s="36">
        <f>(J7+Q7)/K7</f>
        <v>0.47096650227374626</v>
      </c>
      <c r="T7" s="35"/>
    </row>
    <row r="8" spans="1:20" x14ac:dyDescent="0.25">
      <c r="A8" t="s">
        <v>13</v>
      </c>
      <c r="B8" s="16">
        <v>148902</v>
      </c>
      <c r="C8" s="16">
        <v>6662</v>
      </c>
      <c r="D8" s="16">
        <v>3316</v>
      </c>
      <c r="E8" s="16">
        <v>20640</v>
      </c>
      <c r="F8" s="16">
        <v>36000</v>
      </c>
      <c r="G8" s="17">
        <f t="shared" ref="G8:G14" si="2">SUM(B8:F8)</f>
        <v>215520</v>
      </c>
      <c r="H8" s="16">
        <v>215520</v>
      </c>
      <c r="I8" s="17">
        <f t="shared" ref="I8:I14" si="3">H8/$B$1</f>
        <v>167069.76744186046</v>
      </c>
      <c r="J8" s="16">
        <v>167070</v>
      </c>
      <c r="K8" s="16">
        <v>447410</v>
      </c>
      <c r="L8" s="16">
        <f t="shared" ref="L8:L13" si="4">K8-J8</f>
        <v>280340</v>
      </c>
      <c r="M8" s="13">
        <f t="shared" ref="M8:M14" si="5">K8/$J$18</f>
        <v>0.14970890400072545</v>
      </c>
      <c r="N8" s="35">
        <v>0.1497</v>
      </c>
      <c r="O8" s="20">
        <f t="shared" si="0"/>
        <v>49326.793322007827</v>
      </c>
      <c r="P8" s="20">
        <f t="shared" si="1"/>
        <v>63631.563385390102</v>
      </c>
      <c r="Q8">
        <v>29000</v>
      </c>
      <c r="R8">
        <f t="shared" ref="R8:R14" si="6">Q8*1.29</f>
        <v>37410</v>
      </c>
      <c r="S8" s="36">
        <f t="shared" ref="S8:S13" si="7">(J8+Q8)/K8</f>
        <v>0.43823338772043541</v>
      </c>
      <c r="T8" s="35"/>
    </row>
    <row r="9" spans="1:20" x14ac:dyDescent="0.25">
      <c r="A9" t="s">
        <v>22</v>
      </c>
      <c r="B9" s="16">
        <v>200820</v>
      </c>
      <c r="C9" s="16">
        <v>9828</v>
      </c>
      <c r="D9" s="16">
        <v>8479</v>
      </c>
      <c r="E9" s="16">
        <v>13100</v>
      </c>
      <c r="F9" s="16">
        <v>36000</v>
      </c>
      <c r="G9" s="17">
        <f t="shared" si="2"/>
        <v>268227</v>
      </c>
      <c r="H9" s="16">
        <v>268227</v>
      </c>
      <c r="I9" s="17">
        <f t="shared" si="3"/>
        <v>207927.90697674418</v>
      </c>
      <c r="J9" s="16">
        <v>207928</v>
      </c>
      <c r="K9" s="16">
        <v>698303</v>
      </c>
      <c r="L9" s="16">
        <f t="shared" si="4"/>
        <v>490375</v>
      </c>
      <c r="M9" s="13">
        <f t="shared" si="5"/>
        <v>0.23366079611635543</v>
      </c>
      <c r="N9" s="35">
        <v>0.23369999999999999</v>
      </c>
      <c r="O9" s="20">
        <f t="shared" si="0"/>
        <v>76987.657310158538</v>
      </c>
      <c r="P9" s="20">
        <f t="shared" si="1"/>
        <v>99314.077930104511</v>
      </c>
      <c r="Q9">
        <v>82000</v>
      </c>
      <c r="R9">
        <f t="shared" si="6"/>
        <v>105780</v>
      </c>
      <c r="S9" s="36">
        <f t="shared" si="7"/>
        <v>0.41518939486154294</v>
      </c>
      <c r="T9" s="35"/>
    </row>
    <row r="10" spans="1:20" x14ac:dyDescent="0.25">
      <c r="A10" t="s">
        <v>25</v>
      </c>
      <c r="B10" s="16">
        <v>124902</v>
      </c>
      <c r="C10" s="16">
        <v>9848</v>
      </c>
      <c r="D10" s="16">
        <v>8465</v>
      </c>
      <c r="E10" s="16">
        <v>48020</v>
      </c>
      <c r="F10" s="16">
        <v>36000</v>
      </c>
      <c r="G10" s="17">
        <f t="shared" si="2"/>
        <v>227235</v>
      </c>
      <c r="H10" s="16">
        <v>227235</v>
      </c>
      <c r="I10" s="17">
        <f t="shared" si="3"/>
        <v>176151.16279069768</v>
      </c>
      <c r="J10" s="16">
        <v>176151</v>
      </c>
      <c r="K10" s="16">
        <v>556570</v>
      </c>
      <c r="L10" s="16">
        <f t="shared" si="4"/>
        <v>380419</v>
      </c>
      <c r="M10" s="13">
        <f t="shared" si="5"/>
        <v>0.18623518629374344</v>
      </c>
      <c r="N10" s="35">
        <v>0.1862</v>
      </c>
      <c r="O10" s="20">
        <f t="shared" si="0"/>
        <v>61361.64448543817</v>
      </c>
      <c r="P10" s="20">
        <f t="shared" si="1"/>
        <v>79156.521386215245</v>
      </c>
      <c r="Q10">
        <v>63000</v>
      </c>
      <c r="R10">
        <f t="shared" si="6"/>
        <v>81270</v>
      </c>
      <c r="S10" s="36">
        <f t="shared" si="7"/>
        <v>0.42968719118888909</v>
      </c>
      <c r="T10" s="35"/>
    </row>
    <row r="11" spans="1:20" x14ac:dyDescent="0.25">
      <c r="A11" t="s">
        <v>16</v>
      </c>
      <c r="B11" s="16">
        <v>239658</v>
      </c>
      <c r="C11" s="16">
        <v>9848</v>
      </c>
      <c r="D11" s="16">
        <v>8619</v>
      </c>
      <c r="E11" s="16">
        <v>21274</v>
      </c>
      <c r="F11" s="16">
        <v>36000</v>
      </c>
      <c r="G11" s="17">
        <f t="shared" si="2"/>
        <v>315399</v>
      </c>
      <c r="H11" s="16">
        <v>315399</v>
      </c>
      <c r="I11" s="17">
        <f t="shared" si="3"/>
        <v>244495.34883720928</v>
      </c>
      <c r="J11" s="16">
        <v>244495</v>
      </c>
      <c r="K11" s="16">
        <v>626080</v>
      </c>
      <c r="L11" s="16">
        <f t="shared" si="4"/>
        <v>381585</v>
      </c>
      <c r="M11" s="13">
        <f t="shared" si="5"/>
        <v>0.20949408957505239</v>
      </c>
      <c r="N11" s="35">
        <v>0.20949999999999999</v>
      </c>
      <c r="O11" s="20">
        <f t="shared" si="0"/>
        <v>69025.097255409273</v>
      </c>
      <c r="P11" s="20">
        <f t="shared" si="1"/>
        <v>89042.37545947796</v>
      </c>
      <c r="Q11">
        <v>90000</v>
      </c>
      <c r="R11">
        <f t="shared" si="6"/>
        <v>116100</v>
      </c>
      <c r="S11" s="36">
        <f t="shared" si="7"/>
        <v>0.53426878354203933</v>
      </c>
      <c r="T11" s="35"/>
    </row>
    <row r="12" spans="1:20" x14ac:dyDescent="0.25">
      <c r="A12" t="s">
        <v>17</v>
      </c>
      <c r="B12" s="16">
        <v>27238</v>
      </c>
      <c r="C12" s="16">
        <v>4702</v>
      </c>
      <c r="D12" s="16">
        <v>2800</v>
      </c>
      <c r="E12" s="16">
        <v>3741</v>
      </c>
      <c r="F12" s="16">
        <v>36000</v>
      </c>
      <c r="G12" s="17">
        <f t="shared" si="2"/>
        <v>74481</v>
      </c>
      <c r="H12" s="16">
        <v>74481</v>
      </c>
      <c r="I12" s="17">
        <f t="shared" si="3"/>
        <v>57737.20930232558</v>
      </c>
      <c r="J12" s="16">
        <v>57737</v>
      </c>
      <c r="K12" s="16">
        <v>25150</v>
      </c>
      <c r="L12" s="16">
        <f t="shared" si="4"/>
        <v>-32587</v>
      </c>
      <c r="M12" s="13">
        <f t="shared" si="5"/>
        <v>8.4155001801887418E-3</v>
      </c>
      <c r="N12" s="35">
        <v>8.3999999999999995E-3</v>
      </c>
      <c r="O12" s="20">
        <f t="shared" si="0"/>
        <v>2772.7785522194335</v>
      </c>
      <c r="P12" s="20">
        <f t="shared" si="1"/>
        <v>3576.8843323630695</v>
      </c>
      <c r="Q12">
        <v>6800</v>
      </c>
      <c r="R12">
        <f t="shared" si="6"/>
        <v>8772</v>
      </c>
      <c r="S12" s="36">
        <f t="shared" si="7"/>
        <v>2.566083499005964</v>
      </c>
      <c r="T12" s="35"/>
    </row>
    <row r="13" spans="1:20" x14ac:dyDescent="0.25">
      <c r="A13" t="s">
        <v>24</v>
      </c>
      <c r="B13" s="16">
        <v>45300</v>
      </c>
      <c r="C13" s="16"/>
      <c r="D13" s="16">
        <v>3096</v>
      </c>
      <c r="E13" s="16">
        <v>13013</v>
      </c>
      <c r="F13" s="16">
        <v>36000</v>
      </c>
      <c r="G13" s="17">
        <f t="shared" si="2"/>
        <v>97409</v>
      </c>
      <c r="H13" s="16">
        <v>97409</v>
      </c>
      <c r="I13" s="17">
        <f t="shared" si="3"/>
        <v>75510.85271317829</v>
      </c>
      <c r="J13" s="16">
        <v>75511</v>
      </c>
      <c r="K13" s="16">
        <v>88565</v>
      </c>
      <c r="L13" s="16">
        <f t="shared" si="4"/>
        <v>13054</v>
      </c>
      <c r="M13" s="13">
        <f t="shared" si="5"/>
        <v>2.9634941290593075E-2</v>
      </c>
      <c r="N13" s="35">
        <v>2.9600000000000001E-2</v>
      </c>
      <c r="O13" s="20">
        <f t="shared" si="0"/>
        <v>9764.259740648673</v>
      </c>
      <c r="P13" s="20">
        <f t="shared" si="1"/>
        <v>12595.895065436789</v>
      </c>
      <c r="Q13">
        <v>9000</v>
      </c>
      <c r="R13">
        <f t="shared" si="6"/>
        <v>11610</v>
      </c>
      <c r="S13" s="36">
        <f t="shared" si="7"/>
        <v>0.95422570993055944</v>
      </c>
      <c r="T13" s="35"/>
    </row>
    <row r="14" spans="1:20" x14ac:dyDescent="0.25">
      <c r="A14" t="s">
        <v>26</v>
      </c>
      <c r="B14" s="16">
        <v>43800</v>
      </c>
      <c r="C14" s="16">
        <v>9346</v>
      </c>
      <c r="D14" s="16">
        <v>8191</v>
      </c>
      <c r="E14" s="14" t="s">
        <v>20</v>
      </c>
      <c r="F14" s="14"/>
      <c r="G14" s="17">
        <f t="shared" si="2"/>
        <v>61337</v>
      </c>
      <c r="H14" s="16">
        <v>51991</v>
      </c>
      <c r="I14" s="17">
        <f t="shared" si="3"/>
        <v>40303.100775193794</v>
      </c>
      <c r="J14" s="16">
        <v>40303</v>
      </c>
      <c r="K14" s="18"/>
      <c r="L14" s="18"/>
      <c r="M14" s="13">
        <f t="shared" si="5"/>
        <v>0</v>
      </c>
      <c r="N14" s="14"/>
      <c r="O14" s="14"/>
      <c r="P14" s="7"/>
      <c r="Q14">
        <v>13000</v>
      </c>
      <c r="R14">
        <f t="shared" si="6"/>
        <v>16770</v>
      </c>
      <c r="T14" s="14"/>
    </row>
    <row r="15" spans="1:20" x14ac:dyDescent="0.25">
      <c r="B15" s="16"/>
      <c r="C15" s="16"/>
      <c r="D15" s="16"/>
      <c r="E15" s="14"/>
      <c r="F15" s="14"/>
      <c r="G15" s="17"/>
      <c r="H15" s="16"/>
      <c r="I15" s="17"/>
      <c r="J15" s="16"/>
      <c r="K15" s="18"/>
      <c r="L15" s="18"/>
      <c r="M15" s="13"/>
      <c r="N15" s="14"/>
      <c r="O15" s="14"/>
      <c r="P15" s="14"/>
      <c r="Q15" s="14"/>
      <c r="R15" s="7"/>
      <c r="S15" s="7"/>
    </row>
    <row r="16" spans="1:20" x14ac:dyDescent="0.25">
      <c r="J16" s="9"/>
      <c r="Q16">
        <f>SUM(Q7:Q14)</f>
        <v>346800</v>
      </c>
      <c r="R16" s="7"/>
    </row>
    <row r="17" spans="9:15" x14ac:dyDescent="0.25">
      <c r="I17" s="8" t="s">
        <v>34</v>
      </c>
      <c r="J17" s="9">
        <f>SUM(J7:J14)</f>
        <v>1172557</v>
      </c>
    </row>
    <row r="18" spans="9:15" x14ac:dyDescent="0.25">
      <c r="I18" s="8" t="s">
        <v>35</v>
      </c>
      <c r="J18" s="9">
        <f>SUM(K7:K14)</f>
        <v>2988533</v>
      </c>
      <c r="M18" t="s">
        <v>44</v>
      </c>
      <c r="N18" s="19">
        <f>J18*45%</f>
        <v>1344839.85</v>
      </c>
      <c r="O18" s="19"/>
    </row>
    <row r="19" spans="9:15" x14ac:dyDescent="0.25">
      <c r="I19" t="s">
        <v>37</v>
      </c>
      <c r="J19" s="7">
        <f>J18-J17</f>
        <v>1815976</v>
      </c>
      <c r="M19" t="s">
        <v>43</v>
      </c>
      <c r="N19" s="19">
        <f>J18*55%</f>
        <v>1643693.1500000001</v>
      </c>
      <c r="O19" s="19">
        <f>N19-J17</f>
        <v>471136.15000000014</v>
      </c>
    </row>
    <row r="20" spans="9:15" x14ac:dyDescent="0.25">
      <c r="I20" t="s">
        <v>29</v>
      </c>
      <c r="J20" s="7">
        <f>B2</f>
        <v>346826</v>
      </c>
    </row>
    <row r="21" spans="9:15" x14ac:dyDescent="0.25">
      <c r="I21" t="s">
        <v>38</v>
      </c>
      <c r="J21" s="11">
        <f>J20/J19</f>
        <v>0.19098600422032008</v>
      </c>
      <c r="O21" s="11">
        <f>O19/J19</f>
        <v>0.25943963466477538</v>
      </c>
    </row>
    <row r="23" spans="9:15" x14ac:dyDescent="0.25">
      <c r="I23" t="s">
        <v>39</v>
      </c>
      <c r="J23" s="19">
        <f>5%*J20</f>
        <v>17341.3</v>
      </c>
    </row>
    <row r="24" spans="9:15" x14ac:dyDescent="0.25">
      <c r="I24" t="s">
        <v>40</v>
      </c>
      <c r="J24" s="19">
        <f>J20-J23</f>
        <v>329484.7</v>
      </c>
    </row>
    <row r="26" spans="9:15" x14ac:dyDescent="0.25">
      <c r="I26" s="19"/>
    </row>
    <row r="27" spans="9:15" x14ac:dyDescent="0.25">
      <c r="I27" s="19"/>
    </row>
  </sheetData>
  <pageMargins left="0.25" right="0.25" top="0.75" bottom="0.75" header="0.3" footer="0.3"/>
  <pageSetup paperSize="9" scale="59" orientation="landscape" horizontalDpi="0" verticalDpi="0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D7E8-D596-4F4B-A1B9-FABAD329AA4F}">
  <dimension ref="A1:M22"/>
  <sheetViews>
    <sheetView workbookViewId="0">
      <selection activeCell="M15" sqref="M15"/>
    </sheetView>
  </sheetViews>
  <sheetFormatPr defaultRowHeight="15" x14ac:dyDescent="0.25"/>
  <cols>
    <col min="1" max="1" width="27.28515625" bestFit="1" customWidth="1"/>
    <col min="2" max="2" width="10.5703125" bestFit="1" customWidth="1"/>
    <col min="3" max="3" width="10.5703125" customWidth="1"/>
    <col min="4" max="4" width="13.5703125" bestFit="1" customWidth="1"/>
    <col min="5" max="5" width="9" bestFit="1" customWidth="1"/>
    <col min="6" max="7" width="7" bestFit="1" customWidth="1"/>
    <col min="8" max="9" width="8" bestFit="1" customWidth="1"/>
    <col min="10" max="11" width="9" bestFit="1" customWidth="1"/>
    <col min="12" max="12" width="14.42578125" bestFit="1" customWidth="1"/>
    <col min="13" max="13" width="8.5703125" bestFit="1" customWidth="1"/>
  </cols>
  <sheetData>
    <row r="1" spans="1:13" x14ac:dyDescent="0.25">
      <c r="A1" t="s">
        <v>29</v>
      </c>
      <c r="B1" s="25">
        <v>337826</v>
      </c>
      <c r="C1" s="24"/>
    </row>
    <row r="2" spans="1:13" x14ac:dyDescent="0.25">
      <c r="A2" t="s">
        <v>46</v>
      </c>
      <c r="B2" s="25">
        <v>2988533</v>
      </c>
      <c r="C2" s="24"/>
    </row>
    <row r="3" spans="1:13" x14ac:dyDescent="0.25">
      <c r="A3" t="s">
        <v>59</v>
      </c>
      <c r="B3" s="25">
        <v>29885.33</v>
      </c>
      <c r="C3" s="24"/>
    </row>
    <row r="4" spans="1:13" x14ac:dyDescent="0.25">
      <c r="A4" t="s">
        <v>60</v>
      </c>
      <c r="B4" s="25">
        <f>B2-B3</f>
        <v>2958647.67</v>
      </c>
      <c r="C4" s="32"/>
    </row>
    <row r="5" spans="1:13" x14ac:dyDescent="0.25">
      <c r="A5" t="s">
        <v>45</v>
      </c>
      <c r="B5" s="26">
        <f>SUM(K13:K20)</f>
        <v>1172557</v>
      </c>
      <c r="C5" s="6"/>
    </row>
    <row r="6" spans="1:13" x14ac:dyDescent="0.25">
      <c r="A6" t="s">
        <v>61</v>
      </c>
      <c r="B6" s="26">
        <f>0.45*B4</f>
        <v>1331391.4515</v>
      </c>
      <c r="C6" s="6"/>
    </row>
    <row r="7" spans="1:13" x14ac:dyDescent="0.25">
      <c r="A7" t="s">
        <v>62</v>
      </c>
      <c r="B7" s="26">
        <f>0.55*B4</f>
        <v>1627256.2185000002</v>
      </c>
      <c r="C7" s="6"/>
    </row>
    <row r="8" spans="1:13" x14ac:dyDescent="0.25">
      <c r="A8" t="s">
        <v>63</v>
      </c>
      <c r="B8" s="26">
        <f>B7-B5</f>
        <v>454699.21850000019</v>
      </c>
      <c r="C8" s="6"/>
    </row>
    <row r="9" spans="1:13" x14ac:dyDescent="0.25">
      <c r="A9" t="s">
        <v>47</v>
      </c>
      <c r="B9" s="26">
        <f>B8-B1</f>
        <v>116873.21850000019</v>
      </c>
      <c r="C9" s="6"/>
    </row>
    <row r="10" spans="1:13" x14ac:dyDescent="0.25">
      <c r="A10" t="s">
        <v>64</v>
      </c>
      <c r="B10" s="33">
        <f>B4/B5</f>
        <v>2.523244217551897</v>
      </c>
      <c r="C10" s="6"/>
    </row>
    <row r="12" spans="1:13" x14ac:dyDescent="0.25">
      <c r="D12" t="s">
        <v>0</v>
      </c>
      <c r="E12" s="14" t="s">
        <v>1</v>
      </c>
      <c r="F12" s="14" t="s">
        <v>2</v>
      </c>
      <c r="G12" s="14" t="s">
        <v>3</v>
      </c>
      <c r="H12" s="14" t="s">
        <v>4</v>
      </c>
      <c r="I12" s="14" t="s">
        <v>5</v>
      </c>
      <c r="J12" s="14" t="s">
        <v>6</v>
      </c>
      <c r="K12" s="14" t="s">
        <v>7</v>
      </c>
      <c r="L12" s="14" t="s">
        <v>33</v>
      </c>
      <c r="M12" s="14" t="s">
        <v>9</v>
      </c>
    </row>
    <row r="13" spans="1:13" x14ac:dyDescent="0.25">
      <c r="D13" t="s">
        <v>21</v>
      </c>
      <c r="E13" s="21">
        <v>187794</v>
      </c>
      <c r="F13" s="21">
        <v>9828</v>
      </c>
      <c r="G13" s="21">
        <v>8479</v>
      </c>
      <c r="H13" s="21">
        <v>20236</v>
      </c>
      <c r="I13" s="21">
        <v>36000</v>
      </c>
      <c r="J13" s="21">
        <v>262337</v>
      </c>
      <c r="K13" s="21">
        <v>203362</v>
      </c>
      <c r="L13" s="21">
        <v>546455</v>
      </c>
      <c r="M13" s="23">
        <v>0.18290000000000001</v>
      </c>
    </row>
    <row r="14" spans="1:13" x14ac:dyDescent="0.25">
      <c r="D14" t="s">
        <v>13</v>
      </c>
      <c r="E14" s="21">
        <v>148902</v>
      </c>
      <c r="F14" s="21">
        <v>6662</v>
      </c>
      <c r="G14" s="21">
        <v>3316</v>
      </c>
      <c r="H14" s="21">
        <v>20640</v>
      </c>
      <c r="I14" s="21">
        <v>36000</v>
      </c>
      <c r="J14" s="21">
        <v>215520</v>
      </c>
      <c r="K14" s="21">
        <v>167070</v>
      </c>
      <c r="L14" s="21">
        <v>447410</v>
      </c>
      <c r="M14" s="23">
        <v>0.1497</v>
      </c>
    </row>
    <row r="15" spans="1:13" x14ac:dyDescent="0.25">
      <c r="D15" t="s">
        <v>22</v>
      </c>
      <c r="E15" s="21">
        <v>200820</v>
      </c>
      <c r="F15" s="21">
        <v>9828</v>
      </c>
      <c r="G15" s="21">
        <v>8479</v>
      </c>
      <c r="H15" s="21">
        <v>13100</v>
      </c>
      <c r="I15" s="21">
        <v>36000</v>
      </c>
      <c r="J15" s="21">
        <v>268227</v>
      </c>
      <c r="K15" s="21">
        <v>207928</v>
      </c>
      <c r="L15" s="21">
        <v>698303</v>
      </c>
      <c r="M15" s="23">
        <v>0.23369999999999999</v>
      </c>
    </row>
    <row r="16" spans="1:13" x14ac:dyDescent="0.25">
      <c r="D16" t="s">
        <v>25</v>
      </c>
      <c r="E16" s="21">
        <v>124902</v>
      </c>
      <c r="F16" s="21">
        <v>9848</v>
      </c>
      <c r="G16" s="21">
        <v>8465</v>
      </c>
      <c r="H16" s="21">
        <v>48020</v>
      </c>
      <c r="I16" s="21">
        <v>36000</v>
      </c>
      <c r="J16" s="21">
        <v>227235</v>
      </c>
      <c r="K16" s="21">
        <v>176151</v>
      </c>
      <c r="L16" s="21">
        <v>556570</v>
      </c>
      <c r="M16" s="23">
        <v>0.1862</v>
      </c>
    </row>
    <row r="17" spans="2:13" x14ac:dyDescent="0.25">
      <c r="D17" t="s">
        <v>16</v>
      </c>
      <c r="E17" s="21">
        <v>239658</v>
      </c>
      <c r="F17" s="21">
        <v>9848</v>
      </c>
      <c r="G17" s="21">
        <v>8619</v>
      </c>
      <c r="H17" s="21">
        <v>21274</v>
      </c>
      <c r="I17" s="21">
        <v>36000</v>
      </c>
      <c r="J17" s="21">
        <v>315399</v>
      </c>
      <c r="K17" s="21">
        <v>244495</v>
      </c>
      <c r="L17" s="21">
        <v>626080</v>
      </c>
      <c r="M17" s="23">
        <v>0.20949999999999999</v>
      </c>
    </row>
    <row r="18" spans="2:13" x14ac:dyDescent="0.25">
      <c r="D18" t="s">
        <v>17</v>
      </c>
      <c r="E18" s="21">
        <v>27238</v>
      </c>
      <c r="F18" s="21">
        <v>4702</v>
      </c>
      <c r="G18" s="21">
        <v>2800</v>
      </c>
      <c r="H18" s="21">
        <v>3741</v>
      </c>
      <c r="I18" s="21">
        <v>36000</v>
      </c>
      <c r="J18" s="21">
        <v>74481</v>
      </c>
      <c r="K18" s="21">
        <v>57737</v>
      </c>
      <c r="L18" s="21">
        <v>25150</v>
      </c>
      <c r="M18" s="23">
        <v>8.3999999999999995E-3</v>
      </c>
    </row>
    <row r="19" spans="2:13" x14ac:dyDescent="0.25">
      <c r="D19" t="s">
        <v>24</v>
      </c>
      <c r="E19" s="21">
        <v>45300</v>
      </c>
      <c r="F19" s="21"/>
      <c r="G19" s="21">
        <v>3096</v>
      </c>
      <c r="H19" s="21">
        <v>13013</v>
      </c>
      <c r="I19" s="21">
        <v>36000</v>
      </c>
      <c r="J19" s="21">
        <v>97409</v>
      </c>
      <c r="K19" s="21">
        <v>75511</v>
      </c>
      <c r="L19" s="21">
        <v>88565</v>
      </c>
      <c r="M19" s="23">
        <v>2.9600000000000001E-2</v>
      </c>
    </row>
    <row r="20" spans="2:13" x14ac:dyDescent="0.25">
      <c r="D20" t="s">
        <v>26</v>
      </c>
      <c r="E20" s="21">
        <v>43800</v>
      </c>
      <c r="F20" s="21">
        <v>9346</v>
      </c>
      <c r="G20" s="21">
        <v>8191</v>
      </c>
      <c r="H20" s="22">
        <v>0</v>
      </c>
      <c r="I20" s="22">
        <v>0</v>
      </c>
      <c r="J20" s="21">
        <v>51991</v>
      </c>
      <c r="K20" s="21">
        <v>40303</v>
      </c>
      <c r="L20" s="21">
        <v>0</v>
      </c>
      <c r="M20" s="23">
        <v>0</v>
      </c>
    </row>
    <row r="21" spans="2:13" x14ac:dyDescent="0.25">
      <c r="B21" s="16"/>
      <c r="C21" s="16"/>
      <c r="D21" s="16"/>
      <c r="E21" s="16"/>
      <c r="F21" s="14"/>
      <c r="G21" s="14"/>
      <c r="H21" s="16"/>
      <c r="I21" s="16"/>
      <c r="J21" s="18"/>
      <c r="K21" s="14"/>
    </row>
    <row r="22" spans="2:13" x14ac:dyDescent="0.25">
      <c r="I22" s="9"/>
    </row>
  </sheetData>
  <pageMargins left="0.7" right="0.7" top="0.75" bottom="0.75" header="0.3" footer="0.3"/>
  <pageSetup paperSize="9" orientation="portrait" horizontalDpi="0" verticalDpi="0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473B-0531-4C51-8CF8-A6AA16A99099}">
  <sheetPr>
    <pageSetUpPr fitToPage="1"/>
  </sheetPr>
  <dimension ref="A1:P24"/>
  <sheetViews>
    <sheetView workbookViewId="0">
      <selection activeCell="K6" sqref="K6"/>
    </sheetView>
  </sheetViews>
  <sheetFormatPr defaultRowHeight="15" x14ac:dyDescent="0.25"/>
  <cols>
    <col min="1" max="1" width="27.28515625" bestFit="1" customWidth="1"/>
    <col min="2" max="2" width="11.28515625" bestFit="1" customWidth="1"/>
    <col min="4" max="4" width="23.7109375" bestFit="1" customWidth="1"/>
    <col min="5" max="5" width="9.7109375" bestFit="1" customWidth="1"/>
  </cols>
  <sheetData>
    <row r="1" spans="1:16" x14ac:dyDescent="0.25">
      <c r="A1" t="s">
        <v>29</v>
      </c>
      <c r="B1" s="25">
        <v>976967</v>
      </c>
    </row>
    <row r="2" spans="1:16" x14ac:dyDescent="0.25">
      <c r="A2" t="s">
        <v>46</v>
      </c>
      <c r="B2" s="25">
        <f>SUM(L13:L20)+F22</f>
        <v>4193501</v>
      </c>
    </row>
    <row r="3" spans="1:16" x14ac:dyDescent="0.25">
      <c r="A3" t="s">
        <v>59</v>
      </c>
      <c r="B3" s="25">
        <f>1%*B2</f>
        <v>41935.01</v>
      </c>
    </row>
    <row r="4" spans="1:16" x14ac:dyDescent="0.25">
      <c r="A4" t="s">
        <v>60</v>
      </c>
      <c r="B4" s="26">
        <f>B2-B3</f>
        <v>4151565.99</v>
      </c>
    </row>
    <row r="5" spans="1:16" x14ac:dyDescent="0.25">
      <c r="A5" t="s">
        <v>45</v>
      </c>
      <c r="B5" s="26">
        <f>SUM(K13:K20)+F23</f>
        <v>1193023</v>
      </c>
    </row>
    <row r="6" spans="1:16" x14ac:dyDescent="0.25">
      <c r="A6" t="s">
        <v>61</v>
      </c>
      <c r="B6" s="26">
        <f>0.45*B4</f>
        <v>1868204.6955000001</v>
      </c>
    </row>
    <row r="7" spans="1:16" x14ac:dyDescent="0.25">
      <c r="A7" t="s">
        <v>62</v>
      </c>
      <c r="B7" s="26">
        <f>0.55*B4</f>
        <v>2283361.2945000003</v>
      </c>
    </row>
    <row r="8" spans="1:16" x14ac:dyDescent="0.25">
      <c r="A8" t="s">
        <v>63</v>
      </c>
      <c r="B8" s="26">
        <f>B7-B5</f>
        <v>1090338.2945000003</v>
      </c>
    </row>
    <row r="9" spans="1:16" x14ac:dyDescent="0.25">
      <c r="A9" t="s">
        <v>47</v>
      </c>
      <c r="B9" s="26">
        <f>B8-B1</f>
        <v>113371.29450000031</v>
      </c>
    </row>
    <row r="10" spans="1:16" x14ac:dyDescent="0.25">
      <c r="A10" t="s">
        <v>64</v>
      </c>
      <c r="B10" s="33">
        <f>B4/B5</f>
        <v>3.4798708742413185</v>
      </c>
    </row>
    <row r="12" spans="1:16" x14ac:dyDescent="0.25">
      <c r="D12" t="s">
        <v>0</v>
      </c>
      <c r="E12" t="s">
        <v>1</v>
      </c>
      <c r="F12" t="s">
        <v>2</v>
      </c>
      <c r="G12" t="s">
        <v>3</v>
      </c>
      <c r="H12" t="s">
        <v>4</v>
      </c>
      <c r="I12" t="s">
        <v>5</v>
      </c>
      <c r="J12" t="s">
        <v>48</v>
      </c>
      <c r="K12" t="s">
        <v>7</v>
      </c>
      <c r="L12" t="s">
        <v>8</v>
      </c>
      <c r="M12" t="s">
        <v>9</v>
      </c>
      <c r="N12" t="s">
        <v>10</v>
      </c>
      <c r="O12" t="s">
        <v>11</v>
      </c>
      <c r="P12" t="s">
        <v>42</v>
      </c>
    </row>
    <row r="13" spans="1:16" x14ac:dyDescent="0.25">
      <c r="D13" t="s">
        <v>21</v>
      </c>
      <c r="E13">
        <v>187794</v>
      </c>
      <c r="F13">
        <v>9828</v>
      </c>
      <c r="G13">
        <v>8479</v>
      </c>
      <c r="H13">
        <v>27312</v>
      </c>
      <c r="I13">
        <v>31000</v>
      </c>
      <c r="J13">
        <v>264413</v>
      </c>
      <c r="K13">
        <v>203395</v>
      </c>
      <c r="L13">
        <v>871848</v>
      </c>
      <c r="M13" s="11">
        <v>0.2079</v>
      </c>
      <c r="N13">
        <v>200000</v>
      </c>
      <c r="O13" s="11">
        <v>0.4627</v>
      </c>
      <c r="P13">
        <v>260000</v>
      </c>
    </row>
    <row r="14" spans="1:16" x14ac:dyDescent="0.25">
      <c r="D14" t="s">
        <v>13</v>
      </c>
      <c r="E14">
        <v>148902</v>
      </c>
      <c r="F14">
        <v>6662</v>
      </c>
      <c r="G14">
        <v>3316</v>
      </c>
      <c r="H14">
        <v>18314</v>
      </c>
      <c r="I14">
        <v>31000</v>
      </c>
      <c r="J14">
        <v>208194</v>
      </c>
      <c r="K14">
        <v>160149</v>
      </c>
      <c r="L14">
        <v>410200</v>
      </c>
      <c r="M14" s="11">
        <v>9.7799999999999998E-2</v>
      </c>
      <c r="N14">
        <v>68000</v>
      </c>
      <c r="O14" s="11">
        <v>0.55620000000000003</v>
      </c>
      <c r="P14">
        <v>88400</v>
      </c>
    </row>
    <row r="15" spans="1:16" x14ac:dyDescent="0.25">
      <c r="D15" t="s">
        <v>22</v>
      </c>
      <c r="E15">
        <v>200820</v>
      </c>
      <c r="F15">
        <v>9828</v>
      </c>
      <c r="G15">
        <v>8479</v>
      </c>
      <c r="H15">
        <v>16582</v>
      </c>
      <c r="I15">
        <v>31000</v>
      </c>
      <c r="J15">
        <v>266709</v>
      </c>
      <c r="K15">
        <v>205161</v>
      </c>
      <c r="L15">
        <v>796036</v>
      </c>
      <c r="M15" s="11">
        <v>0.1898</v>
      </c>
      <c r="N15">
        <v>177000</v>
      </c>
      <c r="O15" s="11">
        <v>0.48010000000000003</v>
      </c>
      <c r="P15">
        <v>230100</v>
      </c>
    </row>
    <row r="16" spans="1:16" x14ac:dyDescent="0.25">
      <c r="D16" t="s">
        <v>23</v>
      </c>
      <c r="E16">
        <v>124902</v>
      </c>
      <c r="F16">
        <v>9848</v>
      </c>
      <c r="G16">
        <v>8465</v>
      </c>
      <c r="H16">
        <v>36734</v>
      </c>
      <c r="I16">
        <v>31000</v>
      </c>
      <c r="J16">
        <v>210949</v>
      </c>
      <c r="K16">
        <v>162268</v>
      </c>
      <c r="L16">
        <v>897147</v>
      </c>
      <c r="M16" s="11">
        <v>0.21390000000000001</v>
      </c>
      <c r="N16">
        <v>200000</v>
      </c>
      <c r="O16" s="11">
        <v>0.40379999999999999</v>
      </c>
      <c r="P16">
        <v>260000</v>
      </c>
    </row>
    <row r="17" spans="4:16" x14ac:dyDescent="0.25">
      <c r="D17" t="s">
        <v>16</v>
      </c>
      <c r="E17">
        <v>239658</v>
      </c>
      <c r="F17">
        <v>9848</v>
      </c>
      <c r="G17">
        <v>8619</v>
      </c>
      <c r="H17">
        <v>28353</v>
      </c>
      <c r="I17">
        <v>31000</v>
      </c>
      <c r="J17">
        <v>317478</v>
      </c>
      <c r="K17">
        <v>244214</v>
      </c>
      <c r="L17">
        <v>1112985</v>
      </c>
      <c r="M17" s="11">
        <v>0.26540000000000002</v>
      </c>
      <c r="N17">
        <v>319967</v>
      </c>
      <c r="O17" s="11">
        <v>0.50690000000000002</v>
      </c>
      <c r="P17">
        <v>415957.10000000003</v>
      </c>
    </row>
    <row r="18" spans="4:16" x14ac:dyDescent="0.25">
      <c r="D18" t="s">
        <v>17</v>
      </c>
      <c r="E18">
        <v>27238</v>
      </c>
      <c r="F18">
        <v>4702</v>
      </c>
      <c r="G18">
        <v>2800</v>
      </c>
      <c r="I18">
        <v>31000</v>
      </c>
      <c r="J18">
        <v>65740</v>
      </c>
      <c r="K18">
        <v>50569</v>
      </c>
      <c r="L18">
        <v>5579</v>
      </c>
      <c r="M18" s="11">
        <v>0</v>
      </c>
      <c r="N18">
        <v>6500</v>
      </c>
      <c r="O18" s="11">
        <v>10.2293</v>
      </c>
      <c r="P18">
        <v>8450</v>
      </c>
    </row>
    <row r="19" spans="4:16" x14ac:dyDescent="0.25">
      <c r="D19" t="s">
        <v>24</v>
      </c>
      <c r="E19">
        <v>12372</v>
      </c>
      <c r="G19">
        <v>2800</v>
      </c>
      <c r="H19">
        <v>790</v>
      </c>
      <c r="J19">
        <v>15962</v>
      </c>
      <c r="K19">
        <v>12278</v>
      </c>
      <c r="L19">
        <v>3711</v>
      </c>
      <c r="M19" s="11">
        <v>8.9999999999999998E-4</v>
      </c>
      <c r="N19">
        <v>5000</v>
      </c>
      <c r="O19" s="11">
        <v>4.6559999999999997</v>
      </c>
      <c r="P19">
        <v>6500</v>
      </c>
    </row>
    <row r="20" spans="4:16" x14ac:dyDescent="0.25">
      <c r="D20" t="s">
        <v>26</v>
      </c>
      <c r="E20">
        <v>43800</v>
      </c>
      <c r="F20">
        <v>9346</v>
      </c>
      <c r="G20">
        <v>8191</v>
      </c>
      <c r="J20">
        <v>61337</v>
      </c>
      <c r="K20">
        <v>47182</v>
      </c>
      <c r="N20">
        <v>25500</v>
      </c>
      <c r="O20" s="11" t="e">
        <v>#VALUE!</v>
      </c>
      <c r="P20">
        <v>33150</v>
      </c>
    </row>
    <row r="22" spans="4:16" x14ac:dyDescent="0.25">
      <c r="D22" t="s">
        <v>49</v>
      </c>
      <c r="E22" t="s">
        <v>50</v>
      </c>
      <c r="F22">
        <v>95995</v>
      </c>
    </row>
    <row r="23" spans="4:16" x14ac:dyDescent="0.25">
      <c r="D23" t="s">
        <v>51</v>
      </c>
      <c r="E23" t="s">
        <v>52</v>
      </c>
      <c r="F23">
        <v>107807</v>
      </c>
    </row>
    <row r="24" spans="4:16" x14ac:dyDescent="0.25">
      <c r="D24" t="s">
        <v>51</v>
      </c>
      <c r="E24" t="s">
        <v>51</v>
      </c>
      <c r="F24" t="s">
        <v>53</v>
      </c>
    </row>
  </sheetData>
  <pageMargins left="0.25" right="0.25" top="0.75" bottom="0.75" header="0.3" footer="0.3"/>
  <pageSetup paperSize="9" scale="74" orientation="landscape" horizontalDpi="0" verticalDpi="0" copies="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73B1-A615-47CC-B8C0-A28320B94948}">
  <dimension ref="A1:J12"/>
  <sheetViews>
    <sheetView showGridLines="0" workbookViewId="0">
      <selection activeCell="E19" sqref="E19"/>
    </sheetView>
  </sheetViews>
  <sheetFormatPr defaultRowHeight="15" x14ac:dyDescent="0.25"/>
  <cols>
    <col min="1" max="1" width="5.28515625" bestFit="1" customWidth="1"/>
    <col min="2" max="2" width="17.5703125" bestFit="1" customWidth="1"/>
    <col min="3" max="3" width="10.5703125" bestFit="1" customWidth="1"/>
    <col min="4" max="4" width="5.28515625" bestFit="1" customWidth="1"/>
    <col min="5" max="5" width="17.5703125" bestFit="1" customWidth="1"/>
    <col min="6" max="6" width="10.5703125" bestFit="1" customWidth="1"/>
    <col min="7" max="7" width="9" bestFit="1" customWidth="1"/>
    <col min="8" max="8" width="17.5703125" bestFit="1" customWidth="1"/>
    <col min="9" max="9" width="11.28515625" bestFit="1" customWidth="1"/>
    <col min="10" max="10" width="8.85546875" bestFit="1" customWidth="1"/>
  </cols>
  <sheetData>
    <row r="1" spans="1:10" x14ac:dyDescent="0.25">
      <c r="A1" s="28" t="s">
        <v>54</v>
      </c>
      <c r="D1" s="28" t="s">
        <v>55</v>
      </c>
      <c r="G1" s="28" t="s">
        <v>56</v>
      </c>
      <c r="H1" s="27"/>
      <c r="I1" s="29" t="s">
        <v>57</v>
      </c>
      <c r="J1" s="29" t="s">
        <v>58</v>
      </c>
    </row>
    <row r="2" spans="1:10" x14ac:dyDescent="0.25">
      <c r="A2" s="28"/>
      <c r="D2" s="28"/>
      <c r="G2" s="28"/>
      <c r="H2" s="27"/>
      <c r="I2" s="30"/>
      <c r="J2" s="30"/>
    </row>
    <row r="3" spans="1:10" x14ac:dyDescent="0.25">
      <c r="B3" s="31" t="str">
        <f>'2H25'!A1</f>
        <v>Pool</v>
      </c>
      <c r="C3" s="27">
        <f>'2H25'!B1</f>
        <v>337826</v>
      </c>
      <c r="E3" s="31" t="str">
        <f>'1H25'!A1</f>
        <v>Pool</v>
      </c>
      <c r="F3" s="27">
        <f>'1H25'!B1</f>
        <v>976967</v>
      </c>
      <c r="H3" s="31" t="s">
        <v>29</v>
      </c>
      <c r="I3" s="27">
        <f>C3-F3</f>
        <v>-639141</v>
      </c>
      <c r="J3" s="11">
        <f>I3/F3</f>
        <v>-0.65420940523067816</v>
      </c>
    </row>
    <row r="4" spans="1:10" x14ac:dyDescent="0.25">
      <c r="B4" s="31" t="str">
        <f>'2H25'!A2</f>
        <v>TotalRevenue (TR)</v>
      </c>
      <c r="C4" s="27">
        <f>'2H25'!B2</f>
        <v>2988533</v>
      </c>
      <c r="E4" s="31" t="str">
        <f>'1H25'!A2</f>
        <v>TotalRevenue (TR)</v>
      </c>
      <c r="F4" s="27">
        <f>'1H25'!B2</f>
        <v>4193501</v>
      </c>
      <c r="H4" s="31" t="str">
        <f>E4</f>
        <v>TotalRevenue (TR)</v>
      </c>
      <c r="I4" s="27">
        <f>C4-F4</f>
        <v>-1204968</v>
      </c>
      <c r="J4" s="11">
        <f>I4/F4</f>
        <v>-0.28734177003892453</v>
      </c>
    </row>
    <row r="5" spans="1:10" x14ac:dyDescent="0.25">
      <c r="B5" s="31" t="str">
        <f>'2H25'!A3</f>
        <v>1% Promo (1P)</v>
      </c>
      <c r="C5" s="27">
        <f>'2H25'!B3</f>
        <v>29885.33</v>
      </c>
      <c r="E5" s="31" t="str">
        <f>'1H25'!A3</f>
        <v>1% Promo (1P)</v>
      </c>
      <c r="F5" s="27">
        <f>'1H25'!B3</f>
        <v>41935.01</v>
      </c>
      <c r="H5" s="31"/>
      <c r="I5" s="27"/>
      <c r="J5" s="11"/>
    </row>
    <row r="6" spans="1:10" x14ac:dyDescent="0.25">
      <c r="B6" s="31" t="str">
        <f>'2H25'!A4</f>
        <v>TR - 1P (R)</v>
      </c>
      <c r="C6" s="27">
        <f>'2H25'!B4</f>
        <v>2958647.67</v>
      </c>
      <c r="E6" s="31" t="str">
        <f>'1H25'!A4</f>
        <v>TR - 1P (R)</v>
      </c>
      <c r="F6" s="27">
        <f>'1H25'!B4</f>
        <v>4151565.99</v>
      </c>
      <c r="H6" s="31"/>
      <c r="I6" s="27"/>
      <c r="J6" s="11"/>
    </row>
    <row r="7" spans="1:10" x14ac:dyDescent="0.25">
      <c r="B7" s="31" t="str">
        <f>'2H25'!A5</f>
        <v>TotalCost (TC)</v>
      </c>
      <c r="C7" s="27">
        <f>'2H25'!B5</f>
        <v>1172557</v>
      </c>
      <c r="E7" s="31" t="str">
        <f>'1H25'!A5</f>
        <v>TotalCost (TC)</v>
      </c>
      <c r="F7" s="27">
        <f>'1H25'!B5</f>
        <v>1193023</v>
      </c>
      <c r="H7" s="31" t="str">
        <f>E7</f>
        <v>TotalCost (TC)</v>
      </c>
      <c r="I7" s="27">
        <f>C7-F7</f>
        <v>-20466</v>
      </c>
      <c r="J7" s="11">
        <f>I7/F7</f>
        <v>-1.7154740520509665E-2</v>
      </c>
    </row>
    <row r="8" spans="1:10" x14ac:dyDescent="0.25">
      <c r="B8" s="31" t="str">
        <f>'2H25'!A6</f>
        <v>45%*R -&gt; Mgmt</v>
      </c>
      <c r="C8" s="27">
        <f>'2H25'!B6</f>
        <v>1331391.4515</v>
      </c>
      <c r="E8" s="31" t="str">
        <f>'1H25'!A6</f>
        <v>45%*R -&gt; Mgmt</v>
      </c>
      <c r="F8" s="27">
        <f>'1H25'!B6</f>
        <v>1868204.6955000001</v>
      </c>
      <c r="H8" s="27"/>
    </row>
    <row r="9" spans="1:10" x14ac:dyDescent="0.25">
      <c r="B9" s="31" t="str">
        <f>'2H25'!A7</f>
        <v>55%* R -&gt; Desk</v>
      </c>
      <c r="C9" s="27">
        <f>'2H25'!B7</f>
        <v>1627256.2185000002</v>
      </c>
      <c r="E9" s="31" t="str">
        <f>'1H25'!A7</f>
        <v>55%* R -&gt; Desk</v>
      </c>
      <c r="F9" s="27">
        <f>'1H25'!B7</f>
        <v>2283361.2945000003</v>
      </c>
      <c r="H9" s="27"/>
    </row>
    <row r="10" spans="1:10" x14ac:dyDescent="0.25">
      <c r="B10" s="31" t="str">
        <f>'2H25'!A8</f>
        <v>Desk - TC (BP)</v>
      </c>
      <c r="C10" s="27">
        <f>'2H25'!B8</f>
        <v>454699.21850000019</v>
      </c>
      <c r="E10" s="31" t="str">
        <f>'1H25'!A8</f>
        <v>Desk - TC (BP)</v>
      </c>
      <c r="F10" s="27">
        <f>'1H25'!B8</f>
        <v>1090338.2945000003</v>
      </c>
      <c r="H10" s="31"/>
      <c r="I10" s="27"/>
      <c r="J10" s="11"/>
    </row>
    <row r="11" spans="1:10" x14ac:dyDescent="0.25">
      <c r="B11" s="31" t="str">
        <f>'2H25'!A9</f>
        <v>BP - Pool</v>
      </c>
      <c r="C11" s="27">
        <f>'2H25'!B9</f>
        <v>116873.21850000019</v>
      </c>
      <c r="E11" s="31" t="str">
        <f>'1H25'!A9</f>
        <v>BP - Pool</v>
      </c>
      <c r="F11" s="27">
        <f>'1H25'!B9</f>
        <v>113371.29450000031</v>
      </c>
      <c r="H11" s="31" t="str">
        <f>E11</f>
        <v>BP - Pool</v>
      </c>
      <c r="I11" s="27">
        <f>C11-F11</f>
        <v>3501.9239999998827</v>
      </c>
      <c r="J11" s="11">
        <f>I11/F11</f>
        <v>3.0888983101448782E-2</v>
      </c>
    </row>
    <row r="12" spans="1:10" x14ac:dyDescent="0.25">
      <c r="B12" s="31" t="str">
        <f>'2H25'!A10</f>
        <v>R / TC (Ratio)</v>
      </c>
      <c r="C12" s="34">
        <f>'2H25'!B10</f>
        <v>2.523244217551897</v>
      </c>
      <c r="E12" s="31" t="str">
        <f>'1H25'!A10</f>
        <v>R / TC (Ratio)</v>
      </c>
      <c r="F12" s="34">
        <f>'1H25'!B10</f>
        <v>3.4798708742413185</v>
      </c>
      <c r="H12" s="31" t="str">
        <f>E12</f>
        <v>R / TC (Ratio)</v>
      </c>
      <c r="I12" s="27">
        <f>C12-F12</f>
        <v>-0.95662665668942148</v>
      </c>
    </row>
  </sheetData>
  <pageMargins left="0.7" right="0.7" top="0.75" bottom="0.75" header="0.3" footer="0.3"/>
  <pageSetup paperSize="9" orientation="landscape" horizontalDpi="0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2H25</vt:lpstr>
      <vt:lpstr>1H25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Su</dc:creator>
  <cp:lastModifiedBy>Dan Su</cp:lastModifiedBy>
  <cp:lastPrinted>2026-02-19T22:47:37Z</cp:lastPrinted>
  <dcterms:created xsi:type="dcterms:W3CDTF">2026-02-12T11:53:06Z</dcterms:created>
  <dcterms:modified xsi:type="dcterms:W3CDTF">2026-02-19T22:50:28Z</dcterms:modified>
</cp:coreProperties>
</file>